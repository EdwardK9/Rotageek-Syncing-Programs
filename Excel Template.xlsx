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) Documents\01) Work\Calendar Updating program\Program Code\"/>
    </mc:Choice>
  </mc:AlternateContent>
  <xr:revisionPtr revIDLastSave="0" documentId="8_{D6038C2F-C9D2-424F-B3B8-2D70633576D9}" xr6:coauthVersionLast="47" xr6:coauthVersionMax="47" xr10:uidLastSave="{00000000-0000-0000-0000-000000000000}"/>
  <bookViews>
    <workbookView xWindow="-110" yWindow="-110" windowWidth="38620" windowHeight="21100" xr2:uid="{6E459838-736B-465D-AE8C-D7CB59EF4A5E}"/>
  </bookViews>
  <sheets>
    <sheet name="BLANK TO COP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2" l="1"/>
  <c r="F40" i="2"/>
  <c r="F40" i="2" a="1"/>
  <c r="E39" i="2"/>
  <c r="H39" i="2" s="1"/>
  <c r="E38" i="2"/>
  <c r="H38" i="2" s="1"/>
  <c r="G37" i="2"/>
  <c r="E37" i="2"/>
  <c r="H37" i="2" s="1"/>
  <c r="E36" i="2"/>
  <c r="H36" i="2" s="1"/>
  <c r="E35" i="2"/>
  <c r="H35" i="2" s="1"/>
  <c r="E34" i="2"/>
  <c r="H34" i="2" s="1"/>
  <c r="E33" i="2"/>
  <c r="H33" i="2" s="1"/>
  <c r="G32" i="2"/>
  <c r="E32" i="2"/>
  <c r="H32" i="2" s="1"/>
  <c r="E31" i="2"/>
  <c r="H31" i="2" s="1"/>
  <c r="G30" i="2"/>
  <c r="E30" i="2"/>
  <c r="H30" i="2" s="1"/>
  <c r="G29" i="2"/>
  <c r="E29" i="2"/>
  <c r="H29" i="2" s="1"/>
  <c r="E28" i="2"/>
  <c r="H28" i="2" s="1"/>
  <c r="E27" i="2"/>
  <c r="H27" i="2" s="1"/>
  <c r="E26" i="2"/>
  <c r="H26" i="2" s="1"/>
  <c r="E25" i="2"/>
  <c r="H25" i="2" s="1"/>
  <c r="G24" i="2"/>
  <c r="E24" i="2"/>
  <c r="H24" i="2" s="1"/>
  <c r="E23" i="2"/>
  <c r="H23" i="2" s="1"/>
  <c r="G22" i="2"/>
  <c r="E22" i="2"/>
  <c r="H22" i="2" s="1"/>
  <c r="G21" i="2"/>
  <c r="E21" i="2"/>
  <c r="H21" i="2" s="1"/>
  <c r="E20" i="2"/>
  <c r="G20" i="2" s="1"/>
  <c r="E19" i="2"/>
  <c r="H19" i="2" s="1"/>
  <c r="E18" i="2"/>
  <c r="H18" i="2" s="1"/>
  <c r="E17" i="2"/>
  <c r="H17" i="2" s="1"/>
  <c r="G16" i="2"/>
  <c r="E16" i="2"/>
  <c r="H16" i="2" s="1"/>
  <c r="E15" i="2"/>
  <c r="H15" i="2" s="1"/>
  <c r="E14" i="2"/>
  <c r="H14" i="2" s="1"/>
  <c r="G13" i="2"/>
  <c r="E13" i="2"/>
  <c r="H13" i="2" s="1"/>
  <c r="E12" i="2"/>
  <c r="G12" i="2" s="1"/>
  <c r="E11" i="2"/>
  <c r="H11" i="2" s="1"/>
  <c r="E10" i="2"/>
  <c r="H10" i="2" s="1"/>
  <c r="E9" i="2"/>
  <c r="H9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G36" i="2" l="1"/>
  <c r="H20" i="2"/>
  <c r="G14" i="2"/>
  <c r="G38" i="2"/>
  <c r="H12" i="2"/>
  <c r="G15" i="2"/>
  <c r="G23" i="2"/>
  <c r="G31" i="2"/>
  <c r="G39" i="2"/>
  <c r="E40" i="2"/>
  <c r="G40" i="2" s="1"/>
  <c r="G28" i="2"/>
  <c r="G9" i="2"/>
  <c r="G17" i="2"/>
  <c r="G25" i="2"/>
  <c r="G33" i="2"/>
  <c r="G10" i="2"/>
  <c r="G18" i="2"/>
  <c r="G26" i="2"/>
  <c r="G34" i="2"/>
  <c r="G11" i="2"/>
  <c r="G19" i="2"/>
  <c r="G27" i="2"/>
  <c r="G35" i="2"/>
  <c r="G44" i="2" l="1"/>
  <c r="E42" i="2"/>
  <c r="G42" i="2" s="1"/>
  <c r="G47" i="2" s="1"/>
</calcChain>
</file>

<file path=xl/sharedStrings.xml><?xml version="1.0" encoding="utf-8"?>
<sst xmlns="http://schemas.openxmlformats.org/spreadsheetml/2006/main" count="33" uniqueCount="25">
  <si>
    <t xml:space="preserve"> Monthly timesheet</t>
  </si>
  <si>
    <t>EMPLOYEE:</t>
  </si>
  <si>
    <t>START OF MONTH</t>
  </si>
  <si>
    <t>REGULAR HRS</t>
  </si>
  <si>
    <t>DATE</t>
  </si>
  <si>
    <t>Start time</t>
  </si>
  <si>
    <t>Finish time</t>
  </si>
  <si>
    <t>Regular hrs</t>
  </si>
  <si>
    <t>Break Length</t>
  </si>
  <si>
    <t>TOTAL HOURS</t>
  </si>
  <si>
    <t>Total for day</t>
  </si>
  <si>
    <t>TOTAL H</t>
  </si>
  <si>
    <t>---</t>
  </si>
  <si>
    <t>HOURLY RATE</t>
  </si>
  <si>
    <t>TOTAL PAY</t>
  </si>
  <si>
    <t>Payslip</t>
  </si>
  <si>
    <t>Basic Salary</t>
  </si>
  <si>
    <t>Net Payment</t>
  </si>
  <si>
    <t>Your Name</t>
  </si>
  <si>
    <t>Your Weekly Hours</t>
  </si>
  <si>
    <t>SUPERVISORS:</t>
  </si>
  <si>
    <t>Your supervisors' names if you like</t>
  </si>
  <si>
    <t>Tax Paid</t>
  </si>
  <si>
    <t>NI Paid</t>
  </si>
  <si>
    <t>Enter Your HOURLY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</si>
</sst>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dd&quot;, &quot;d&quot; &quot;mmm&quot; &quot;"/>
    <numFmt numFmtId="166" formatCode="h&quot;:&quot;mm&quot; &quot;AM/PM"/>
    <numFmt numFmtId="167" formatCode="_-[$£-809]* #,##0.00_-;\-[$£-809]* #,##0.00_-;_-[$£-809]* &quot;-&quot;??_-;_-@_-"/>
    <numFmt numFmtId="168" formatCode="&quot;£&quot;#,##0.00"/>
  </numFmts>
  <fonts count="3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rgb="FF296487"/>
      <name val="Verdana"/>
      <family val="2"/>
    </font>
    <font>
      <sz val="10"/>
      <color theme="1"/>
      <name val="Verdana"/>
      <family val="2"/>
    </font>
    <font>
      <sz val="10"/>
      <color rgb="FF296487"/>
      <name val="Verdana"/>
      <family val="2"/>
    </font>
    <font>
      <b/>
      <sz val="9"/>
      <color rgb="FF495057"/>
      <name val="Verdana"/>
      <family val="2"/>
    </font>
    <font>
      <sz val="10"/>
      <name val="Arial"/>
      <family val="2"/>
    </font>
    <font>
      <b/>
      <sz val="10"/>
      <color theme="1"/>
      <name val="Verdana"/>
      <family val="2"/>
    </font>
    <font>
      <b/>
      <u/>
      <sz val="10"/>
      <color rgb="FF3B8FC2"/>
      <name val="Verdana"/>
      <family val="2"/>
    </font>
    <font>
      <sz val="10"/>
      <color theme="1"/>
      <name val="Aptos Narrow"/>
      <family val="2"/>
      <scheme val="minor"/>
    </font>
    <font>
      <i/>
      <sz val="9"/>
      <color rgb="FF495057"/>
      <name val="Verdana"/>
      <family val="2"/>
    </font>
    <font>
      <sz val="10"/>
      <color rgb="FF3B8FC2"/>
      <name val="Aptos Narrow"/>
      <family val="2"/>
      <scheme val="minor"/>
    </font>
    <font>
      <sz val="10"/>
      <color rgb="FF495057"/>
      <name val="Verdana"/>
      <family val="2"/>
    </font>
    <font>
      <b/>
      <sz val="9"/>
      <color theme="0"/>
      <name val="Verdana"/>
      <family val="2"/>
    </font>
    <font>
      <b/>
      <sz val="9"/>
      <color rgb="FFFFFFFF"/>
      <name val="Verdana"/>
      <family val="2"/>
    </font>
    <font>
      <b/>
      <sz val="10"/>
      <color rgb="FF495057"/>
      <name val="Verdana"/>
      <family val="2"/>
    </font>
    <font>
      <b/>
      <sz val="9"/>
      <color rgb="FF296487"/>
      <name val="Verdana"/>
      <family val="2"/>
    </font>
    <font>
      <sz val="10"/>
      <color rgb="FF6C757D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0"/>
      <color rgb="FF296487"/>
      <name val="Verdana"/>
      <family val="2"/>
    </font>
    <font>
      <sz val="9"/>
      <color rgb="FF495057"/>
      <name val="Verdana"/>
      <family val="2"/>
    </font>
    <font>
      <u/>
      <sz val="10"/>
      <color theme="10"/>
      <name val="Aptos Narrow"/>
      <family val="2"/>
      <scheme val="minor"/>
    </font>
    <font>
      <b/>
      <sz val="12"/>
      <color rgb="FF495057"/>
      <name val="Verdana"/>
      <family val="2"/>
    </font>
    <font>
      <sz val="9"/>
      <color rgb="FF495057"/>
      <name val="Aptos Narrow"/>
      <family val="2"/>
      <scheme val="minor"/>
    </font>
    <font>
      <sz val="72"/>
      <color rgb="FF495057"/>
      <name val="Verdana"/>
      <family val="2"/>
    </font>
    <font>
      <sz val="26"/>
      <color theme="1"/>
      <name val="Verdana"/>
      <family val="2"/>
    </font>
    <font>
      <sz val="24"/>
      <color rgb="FF000000"/>
      <name val="Aptos Narrow"/>
      <family val="2"/>
      <scheme val="minor"/>
    </font>
    <font>
      <i/>
      <sz val="10"/>
      <color theme="1"/>
      <name val="Verdana"/>
      <family val="2"/>
    </font>
    <font>
      <i/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DCEEFA"/>
        <bgColor rgb="FFDCEEFA"/>
      </patternFill>
    </fill>
    <fill>
      <patternFill patternType="solid">
        <fgColor rgb="FF3B8FC2"/>
        <bgColor rgb="FF3B8FC2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rgb="FF6C75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ck">
        <color rgb="FFDCEEF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3" borderId="1"/>
    <xf numFmtId="0" fontId="24" fillId="0" borderId="0"/>
  </cellStyleXfs>
  <cellXfs count="81">
    <xf numFmtId="0" fontId="0" fillId="0" borderId="0" xfId="0"/>
    <xf numFmtId="0" fontId="4" fillId="4" borderId="0" xfId="2" applyFont="1" applyFill="1" applyAlignment="1">
      <alignment vertical="center"/>
    </xf>
    <xf numFmtId="0" fontId="4" fillId="4" borderId="0" xfId="2" applyFont="1" applyFill="1" applyAlignment="1">
      <alignment horizontal="center" vertical="center"/>
    </xf>
    <xf numFmtId="0" fontId="3" fillId="0" borderId="0" xfId="2"/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7" fillId="0" borderId="0" xfId="2" applyFont="1" applyAlignment="1">
      <alignment vertical="center"/>
    </xf>
    <xf numFmtId="0" fontId="8" fillId="0" borderId="0" xfId="2" applyFont="1"/>
    <xf numFmtId="164" fontId="9" fillId="0" borderId="2" xfId="2" applyNumberFormat="1" applyFont="1" applyBorder="1" applyAlignment="1">
      <alignment vertical="center"/>
    </xf>
    <xf numFmtId="0" fontId="10" fillId="0" borderId="0" xfId="2" applyFont="1"/>
    <xf numFmtId="0" fontId="11" fillId="0" borderId="0" xfId="2" applyFont="1" applyAlignment="1">
      <alignment vertical="center"/>
    </xf>
    <xf numFmtId="0" fontId="11" fillId="0" borderId="0" xfId="2" applyFont="1" applyAlignment="1">
      <alignment horizontal="left"/>
    </xf>
    <xf numFmtId="0" fontId="7" fillId="0" borderId="0" xfId="2" applyFont="1" applyAlignment="1">
      <alignment horizontal="center" vertical="center"/>
    </xf>
    <xf numFmtId="4" fontId="9" fillId="0" borderId="2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3" fillId="0" borderId="0" xfId="2"/>
    <xf numFmtId="0" fontId="13" fillId="0" borderId="0" xfId="2" applyFont="1"/>
    <xf numFmtId="0" fontId="15" fillId="5" borderId="0" xfId="2" applyFont="1" applyFill="1" applyAlignment="1">
      <alignment horizontal="center" vertical="center"/>
    </xf>
    <xf numFmtId="0" fontId="16" fillId="5" borderId="0" xfId="2" applyFont="1" applyFill="1" applyAlignment="1">
      <alignment horizontal="center" vertical="center"/>
    </xf>
    <xf numFmtId="0" fontId="13" fillId="0" borderId="0" xfId="2" applyFont="1" applyAlignment="1">
      <alignment horizontal="right" vertical="center"/>
    </xf>
    <xf numFmtId="165" fontId="17" fillId="6" borderId="4" xfId="2" applyNumberFormat="1" applyFont="1" applyFill="1" applyBorder="1" applyAlignment="1">
      <alignment horizontal="right" vertical="center"/>
    </xf>
    <xf numFmtId="166" fontId="5" fillId="0" borderId="4" xfId="2" applyNumberFormat="1" applyFont="1" applyBorder="1" applyAlignment="1">
      <alignment horizontal="center" vertical="center"/>
    </xf>
    <xf numFmtId="4" fontId="5" fillId="6" borderId="4" xfId="2" applyNumberFormat="1" applyFont="1" applyFill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4" fontId="9" fillId="4" borderId="5" xfId="2" applyNumberFormat="1" applyFont="1" applyFill="1" applyBorder="1" applyAlignment="1">
      <alignment horizontal="center" vertical="center"/>
    </xf>
    <xf numFmtId="167" fontId="13" fillId="0" borderId="0" xfId="2" applyNumberFormat="1" applyFont="1" applyAlignment="1">
      <alignment horizontal="right" vertical="center"/>
    </xf>
    <xf numFmtId="165" fontId="17" fillId="6" borderId="6" xfId="2" applyNumberFormat="1" applyFont="1" applyFill="1" applyBorder="1" applyAlignment="1">
      <alignment horizontal="right" vertical="center"/>
    </xf>
    <xf numFmtId="0" fontId="18" fillId="4" borderId="0" xfId="2" applyFont="1" applyFill="1" applyAlignment="1">
      <alignment horizontal="right" vertical="center"/>
    </xf>
    <xf numFmtId="0" fontId="19" fillId="4" borderId="4" xfId="2" applyFont="1" applyFill="1" applyBorder="1" applyAlignment="1">
      <alignment horizontal="center" vertical="center"/>
    </xf>
    <xf numFmtId="4" fontId="5" fillId="4" borderId="5" xfId="2" applyNumberFormat="1" applyFont="1" applyFill="1" applyBorder="1" applyAlignment="1">
      <alignment horizontal="center" vertical="center"/>
    </xf>
    <xf numFmtId="4" fontId="20" fillId="4" borderId="0" xfId="2" applyNumberFormat="1" applyFont="1" applyFill="1" applyAlignment="1">
      <alignment horizontal="center" vertical="center"/>
    </xf>
    <xf numFmtId="0" fontId="7" fillId="0" borderId="4" xfId="2" applyFont="1" applyBorder="1" applyAlignment="1">
      <alignment horizontal="right" vertical="center"/>
    </xf>
    <xf numFmtId="0" fontId="19" fillId="0" borderId="4" xfId="2" applyFont="1" applyBorder="1" applyAlignment="1">
      <alignment horizontal="center" vertical="center"/>
    </xf>
    <xf numFmtId="167" fontId="21" fillId="7" borderId="7" xfId="2" applyNumberFormat="1" applyFont="1" applyFill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18" fillId="6" borderId="4" xfId="2" applyFont="1" applyFill="1" applyBorder="1" applyAlignment="1">
      <alignment horizontal="right" vertical="center"/>
    </xf>
    <xf numFmtId="0" fontId="19" fillId="6" borderId="4" xfId="2" applyFont="1" applyFill="1" applyBorder="1" applyAlignment="1">
      <alignment horizontal="center" vertical="center"/>
    </xf>
    <xf numFmtId="167" fontId="20" fillId="6" borderId="4" xfId="2" applyNumberFormat="1" applyFont="1" applyFill="1" applyBorder="1" applyAlignment="1">
      <alignment horizontal="center" vertical="center"/>
    </xf>
    <xf numFmtId="0" fontId="23" fillId="0" borderId="0" xfId="2" applyFont="1"/>
    <xf numFmtId="0" fontId="23" fillId="0" borderId="0" xfId="2" applyFont="1" applyAlignment="1">
      <alignment horizontal="center"/>
    </xf>
    <xf numFmtId="0" fontId="24" fillId="0" borderId="0" xfId="4" applyAlignment="1">
      <alignment horizontal="center"/>
    </xf>
    <xf numFmtId="4" fontId="25" fillId="0" borderId="8" xfId="2" applyNumberFormat="1" applyFont="1" applyBorder="1" applyAlignment="1">
      <alignment horizontal="right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right"/>
    </xf>
    <xf numFmtId="0" fontId="26" fillId="0" borderId="0" xfId="2" applyFont="1"/>
    <xf numFmtId="167" fontId="25" fillId="0" borderId="8" xfId="2" applyNumberFormat="1" applyFont="1" applyBorder="1" applyAlignment="1">
      <alignment horizontal="right"/>
    </xf>
    <xf numFmtId="167" fontId="3" fillId="0" borderId="0" xfId="2" applyNumberFormat="1"/>
    <xf numFmtId="0" fontId="27" fillId="8" borderId="9" xfId="2" applyFont="1" applyFill="1" applyBorder="1" applyAlignment="1">
      <alignment horizontal="center" vertical="center"/>
    </xf>
    <xf numFmtId="0" fontId="3" fillId="0" borderId="10" xfId="2" applyBorder="1"/>
    <xf numFmtId="0" fontId="3" fillId="0" borderId="11" xfId="2" applyBorder="1"/>
    <xf numFmtId="0" fontId="28" fillId="8" borderId="12" xfId="2" applyFont="1" applyFill="1" applyBorder="1" applyAlignment="1">
      <alignment horizontal="center"/>
    </xf>
    <xf numFmtId="0" fontId="3" fillId="0" borderId="13" xfId="2" applyBorder="1"/>
    <xf numFmtId="0" fontId="3" fillId="0" borderId="14" xfId="2" applyBorder="1"/>
    <xf numFmtId="168" fontId="28" fillId="8" borderId="3" xfId="2" applyNumberFormat="1" applyFont="1" applyFill="1" applyBorder="1" applyAlignment="1">
      <alignment horizontal="center"/>
    </xf>
    <xf numFmtId="0" fontId="3" fillId="0" borderId="15" xfId="2" applyBorder="1"/>
    <xf numFmtId="0" fontId="3" fillId="0" borderId="16" xfId="2" applyBorder="1"/>
    <xf numFmtId="0" fontId="3" fillId="0" borderId="17" xfId="2" applyBorder="1"/>
    <xf numFmtId="0" fontId="3" fillId="0" borderId="18" xfId="2" applyBorder="1"/>
    <xf numFmtId="0" fontId="3" fillId="0" borderId="19" xfId="2" applyBorder="1"/>
    <xf numFmtId="0" fontId="3" fillId="0" borderId="20" xfId="2" applyBorder="1"/>
    <xf numFmtId="0" fontId="3" fillId="0" borderId="21" xfId="2" applyBorder="1"/>
    <xf numFmtId="0" fontId="29" fillId="0" borderId="15" xfId="2" applyFont="1" applyBorder="1" applyAlignment="1"/>
    <xf numFmtId="0" fontId="3" fillId="0" borderId="15" xfId="2" applyBorder="1" applyAlignment="1"/>
    <xf numFmtId="168" fontId="3" fillId="0" borderId="0" xfId="2" applyNumberFormat="1" applyAlignment="1"/>
    <xf numFmtId="0" fontId="3" fillId="0" borderId="0" xfId="2" applyAlignment="1"/>
    <xf numFmtId="0" fontId="3" fillId="0" borderId="15" xfId="2" applyBorder="1" applyAlignment="1">
      <alignment vertical="center" wrapText="1"/>
    </xf>
    <xf numFmtId="2" fontId="3" fillId="0" borderId="0" xfId="2" applyNumberFormat="1" applyAlignment="1"/>
    <xf numFmtId="0" fontId="14" fillId="0" borderId="0" xfId="2" applyFont="1" applyBorder="1"/>
    <xf numFmtId="0" fontId="3" fillId="0" borderId="0" xfId="2" applyBorder="1"/>
    <xf numFmtId="0" fontId="12" fillId="0" borderId="0" xfId="2" applyFont="1" applyBorder="1" applyAlignment="1">
      <alignment vertical="top" wrapText="1"/>
    </xf>
    <xf numFmtId="0" fontId="11" fillId="0" borderId="0" xfId="2" applyFont="1" applyBorder="1" applyAlignment="1">
      <alignment vertical="center"/>
    </xf>
    <xf numFmtId="0" fontId="12" fillId="0" borderId="0" xfId="2" applyFont="1" applyBorder="1" applyAlignment="1">
      <alignment vertical="center" wrapText="1"/>
    </xf>
    <xf numFmtId="0" fontId="0" fillId="0" borderId="0" xfId="0" applyBorder="1"/>
    <xf numFmtId="0" fontId="30" fillId="0" borderId="0" xfId="2" applyFont="1" applyAlignment="1">
      <alignment horizontal="center"/>
    </xf>
    <xf numFmtId="0" fontId="30" fillId="0" borderId="0" xfId="2" applyFont="1" applyBorder="1" applyAlignment="1">
      <alignment horizontal="center" vertical="center"/>
    </xf>
    <xf numFmtId="0" fontId="30" fillId="0" borderId="2" xfId="2" applyFont="1" applyBorder="1" applyAlignment="1">
      <alignment horizontal="left" vertical="center"/>
    </xf>
    <xf numFmtId="0" fontId="31" fillId="0" borderId="2" xfId="2" applyFont="1" applyBorder="1"/>
    <xf numFmtId="167" fontId="1" fillId="2" borderId="7" xfId="1" applyNumberFormat="1" applyBorder="1" applyAlignment="1">
      <alignment horizontal="center" vertical="center"/>
    </xf>
    <xf numFmtId="0" fontId="1" fillId="2" borderId="0" xfId="1" applyAlignment="1">
      <alignment wrapText="1"/>
    </xf>
  </cellXfs>
  <cellStyles count="5">
    <cellStyle name="Good" xfId="1" builtinId="26"/>
    <cellStyle name="Hyperlink 2" xfId="4" xr:uid="{2A544FDE-B25C-4539-A460-11870DE99F5F}"/>
    <cellStyle name="Input 2" xfId="3" xr:uid="{7489FDD3-B1B3-45B5-B55B-03205D6AA66E}"/>
    <cellStyle name="Normal" xfId="0" builtinId="0"/>
    <cellStyle name="Normal 2" xfId="2" xr:uid="{2B9E7D63-1E5F-40C9-80EA-2E684BC1DDD7}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4053-E166-46DA-9924-6E298297963B}">
  <dimension ref="B2:L98"/>
  <sheetViews>
    <sheetView tabSelected="1" topLeftCell="A7" workbookViewId="0">
      <selection activeCell="O49" sqref="O49"/>
    </sheetView>
  </sheetViews>
  <sheetFormatPr defaultColWidth="12.54296875" defaultRowHeight="13" x14ac:dyDescent="0.3"/>
  <cols>
    <col min="1" max="1" width="6.1796875" style="3" customWidth="1"/>
    <col min="2" max="2" width="14.453125" style="3" customWidth="1"/>
    <col min="3" max="4" width="11.453125" style="3" customWidth="1"/>
    <col min="5" max="5" width="12.54296875" style="3" customWidth="1"/>
    <col min="6" max="6" width="13.453125" style="3" bestFit="1" customWidth="1"/>
    <col min="7" max="7" width="17.36328125" style="3" bestFit="1" customWidth="1"/>
    <col min="8" max="8" width="12.54296875" style="3" bestFit="1" customWidth="1"/>
    <col min="9" max="9" width="10.54296875" style="3" bestFit="1" customWidth="1"/>
    <col min="10" max="16384" width="12.54296875" style="3"/>
  </cols>
  <sheetData>
    <row r="2" spans="2:12" ht="32.25" customHeight="1" x14ac:dyDescent="0.3">
      <c r="B2" s="1" t="s">
        <v>0</v>
      </c>
      <c r="C2" s="2"/>
      <c r="D2" s="2"/>
      <c r="E2" s="2"/>
      <c r="F2" s="2"/>
      <c r="G2" s="1"/>
    </row>
    <row r="3" spans="2:12" ht="13.5" customHeight="1" x14ac:dyDescent="0.3">
      <c r="B3" s="4"/>
      <c r="C3" s="5"/>
      <c r="D3" s="5"/>
      <c r="E3" s="5"/>
      <c r="F3" s="5"/>
      <c r="I3" s="6"/>
    </row>
    <row r="4" spans="2:12" ht="22.5" customHeight="1" x14ac:dyDescent="0.3">
      <c r="B4" s="7" t="s">
        <v>1</v>
      </c>
      <c r="C4" s="77" t="s">
        <v>18</v>
      </c>
      <c r="D4" s="78"/>
      <c r="E4" s="78"/>
      <c r="F4" s="8"/>
      <c r="G4" s="7" t="s">
        <v>2</v>
      </c>
      <c r="H4" s="9">
        <v>46023</v>
      </c>
      <c r="I4" s="10"/>
      <c r="J4" s="11"/>
      <c r="K4" s="11"/>
    </row>
    <row r="5" spans="2:12" ht="13.5" customHeight="1" x14ac:dyDescent="0.3">
      <c r="C5" s="12"/>
      <c r="D5" s="12"/>
      <c r="E5" s="12"/>
      <c r="F5" s="12"/>
      <c r="H5" s="75" t="s">
        <v>19</v>
      </c>
      <c r="I5" s="4"/>
    </row>
    <row r="6" spans="2:12" ht="22.5" customHeight="1" x14ac:dyDescent="0.3">
      <c r="B6" s="7" t="s">
        <v>20</v>
      </c>
      <c r="C6" s="76" t="s">
        <v>21</v>
      </c>
      <c r="D6" s="76"/>
      <c r="E6" s="76"/>
      <c r="F6" s="76"/>
      <c r="G6" s="13" t="s">
        <v>3</v>
      </c>
      <c r="H6" s="14">
        <v>37.5</v>
      </c>
      <c r="I6" s="15"/>
      <c r="J6" s="16"/>
      <c r="K6" s="17"/>
    </row>
    <row r="7" spans="2:12" ht="13.5" customHeight="1" x14ac:dyDescent="0.3">
      <c r="B7" s="4"/>
      <c r="C7" s="5"/>
      <c r="D7" s="5"/>
      <c r="E7" s="5"/>
      <c r="F7" s="5"/>
      <c r="H7" s="18"/>
      <c r="I7" s="69"/>
      <c r="J7" s="70"/>
      <c r="K7" s="70"/>
      <c r="L7" s="70"/>
    </row>
    <row r="8" spans="2:12" ht="23.25" customHeight="1" x14ac:dyDescent="0.3">
      <c r="B8" s="19" t="s">
        <v>4</v>
      </c>
      <c r="C8" s="20" t="s">
        <v>5</v>
      </c>
      <c r="D8" s="20" t="s">
        <v>6</v>
      </c>
      <c r="E8" s="20" t="s">
        <v>7</v>
      </c>
      <c r="F8" s="20" t="s">
        <v>8</v>
      </c>
      <c r="G8" s="20" t="s">
        <v>9</v>
      </c>
      <c r="H8" s="21" t="s">
        <v>10</v>
      </c>
      <c r="I8" s="71"/>
      <c r="J8" s="72"/>
      <c r="K8" s="72"/>
      <c r="L8" s="70"/>
    </row>
    <row r="9" spans="2:12" ht="28.5" customHeight="1" x14ac:dyDescent="0.3">
      <c r="B9" s="22">
        <f>H4</f>
        <v>46023</v>
      </c>
      <c r="C9" s="23"/>
      <c r="D9" s="23"/>
      <c r="E9" s="24">
        <f t="shared" ref="E9:E39" si="0">IF(D9&gt;C9,(D9-C9)*24,0)</f>
        <v>0</v>
      </c>
      <c r="F9" s="25"/>
      <c r="G9" s="26">
        <f t="shared" ref="G9:G39" si="1">SUM(E9-(F9/60))</f>
        <v>0</v>
      </c>
      <c r="H9" s="27">
        <f t="shared" ref="H9:H39" si="2">SUM((E9-(F9/60))*E$41)</f>
        <v>0</v>
      </c>
      <c r="I9" s="70"/>
      <c r="J9" s="72"/>
      <c r="K9" s="72"/>
      <c r="L9" s="70"/>
    </row>
    <row r="10" spans="2:12" ht="28.5" customHeight="1" x14ac:dyDescent="0.3">
      <c r="B10" s="22">
        <f t="shared" ref="B10:B39" si="3">B9+1</f>
        <v>46024</v>
      </c>
      <c r="C10" s="23"/>
      <c r="D10" s="23"/>
      <c r="E10" s="24">
        <f t="shared" si="0"/>
        <v>0</v>
      </c>
      <c r="F10" s="25"/>
      <c r="G10" s="26">
        <f t="shared" si="1"/>
        <v>0</v>
      </c>
      <c r="H10" s="27">
        <f t="shared" si="2"/>
        <v>0</v>
      </c>
      <c r="I10" s="71"/>
      <c r="J10" s="72"/>
      <c r="K10" s="72"/>
      <c r="L10" s="70"/>
    </row>
    <row r="11" spans="2:12" ht="28.5" customHeight="1" x14ac:dyDescent="0.3">
      <c r="B11" s="22">
        <f t="shared" si="3"/>
        <v>46025</v>
      </c>
      <c r="C11" s="23"/>
      <c r="D11" s="23"/>
      <c r="E11" s="24">
        <f t="shared" si="0"/>
        <v>0</v>
      </c>
      <c r="F11" s="25"/>
      <c r="G11" s="26">
        <f t="shared" si="1"/>
        <v>0</v>
      </c>
      <c r="H11" s="27">
        <f t="shared" si="2"/>
        <v>0</v>
      </c>
      <c r="I11" s="70"/>
      <c r="J11" s="72"/>
      <c r="K11" s="72"/>
      <c r="L11" s="70"/>
    </row>
    <row r="12" spans="2:12" ht="28.5" customHeight="1" x14ac:dyDescent="0.3">
      <c r="B12" s="22">
        <f t="shared" si="3"/>
        <v>46026</v>
      </c>
      <c r="C12" s="23"/>
      <c r="D12" s="23"/>
      <c r="E12" s="24">
        <f t="shared" si="0"/>
        <v>0</v>
      </c>
      <c r="F12" s="25"/>
      <c r="G12" s="26">
        <f t="shared" si="1"/>
        <v>0</v>
      </c>
      <c r="H12" s="27">
        <f t="shared" si="2"/>
        <v>0</v>
      </c>
      <c r="I12" s="73"/>
      <c r="J12" s="72"/>
      <c r="K12" s="72"/>
      <c r="L12" s="70"/>
    </row>
    <row r="13" spans="2:12" ht="28.5" customHeight="1" x14ac:dyDescent="0.3">
      <c r="B13" s="22">
        <f t="shared" si="3"/>
        <v>46027</v>
      </c>
      <c r="C13" s="23"/>
      <c r="D13" s="23"/>
      <c r="E13" s="24">
        <f t="shared" si="0"/>
        <v>0</v>
      </c>
      <c r="F13" s="25"/>
      <c r="G13" s="26">
        <f t="shared" si="1"/>
        <v>0</v>
      </c>
      <c r="H13" s="27">
        <f t="shared" si="2"/>
        <v>0</v>
      </c>
      <c r="I13" s="71"/>
      <c r="J13" s="72"/>
      <c r="K13" s="72"/>
      <c r="L13" s="70"/>
    </row>
    <row r="14" spans="2:12" ht="28.5" customHeight="1" x14ac:dyDescent="0.3">
      <c r="B14" s="22">
        <f t="shared" si="3"/>
        <v>46028</v>
      </c>
      <c r="C14" s="23"/>
      <c r="D14" s="23"/>
      <c r="E14" s="24">
        <f t="shared" si="0"/>
        <v>0</v>
      </c>
      <c r="F14" s="25"/>
      <c r="G14" s="26">
        <f t="shared" si="1"/>
        <v>0</v>
      </c>
      <c r="H14" s="27">
        <f t="shared" si="2"/>
        <v>0</v>
      </c>
      <c r="I14" s="71"/>
      <c r="J14" s="72"/>
      <c r="K14" s="72"/>
      <c r="L14" s="70"/>
    </row>
    <row r="15" spans="2:12" ht="28.5" customHeight="1" x14ac:dyDescent="0.3">
      <c r="B15" s="22">
        <f t="shared" si="3"/>
        <v>46029</v>
      </c>
      <c r="C15" s="23"/>
      <c r="D15" s="23"/>
      <c r="E15" s="24">
        <f t="shared" si="0"/>
        <v>0</v>
      </c>
      <c r="F15" s="25"/>
      <c r="G15" s="26">
        <f t="shared" si="1"/>
        <v>0</v>
      </c>
      <c r="H15" s="27">
        <f t="shared" si="2"/>
        <v>0</v>
      </c>
      <c r="I15" s="70"/>
      <c r="J15" s="72"/>
      <c r="K15" s="72"/>
      <c r="L15" s="70"/>
    </row>
    <row r="16" spans="2:12" ht="28.5" customHeight="1" x14ac:dyDescent="0.3">
      <c r="B16" s="22">
        <f t="shared" si="3"/>
        <v>46030</v>
      </c>
      <c r="C16" s="23"/>
      <c r="D16" s="23"/>
      <c r="E16" s="24">
        <f t="shared" si="0"/>
        <v>0</v>
      </c>
      <c r="F16" s="25"/>
      <c r="G16" s="26">
        <f t="shared" si="1"/>
        <v>0</v>
      </c>
      <c r="H16" s="27">
        <f t="shared" si="2"/>
        <v>0</v>
      </c>
      <c r="I16" s="71"/>
      <c r="J16" s="72"/>
      <c r="K16" s="72"/>
      <c r="L16" s="70"/>
    </row>
    <row r="17" spans="2:12" ht="28.5" customHeight="1" x14ac:dyDescent="0.3">
      <c r="B17" s="22">
        <f t="shared" si="3"/>
        <v>46031</v>
      </c>
      <c r="C17" s="23"/>
      <c r="D17" s="23"/>
      <c r="E17" s="24">
        <f t="shared" si="0"/>
        <v>0</v>
      </c>
      <c r="F17" s="25"/>
      <c r="G17" s="26">
        <f t="shared" si="1"/>
        <v>0</v>
      </c>
      <c r="H17" s="27">
        <f t="shared" si="2"/>
        <v>0</v>
      </c>
      <c r="I17" s="73"/>
      <c r="J17" s="72"/>
      <c r="K17" s="72"/>
      <c r="L17" s="70"/>
    </row>
    <row r="18" spans="2:12" ht="28.5" customHeight="1" x14ac:dyDescent="0.3">
      <c r="B18" s="22">
        <f t="shared" si="3"/>
        <v>46032</v>
      </c>
      <c r="C18" s="23"/>
      <c r="D18" s="23"/>
      <c r="E18" s="24">
        <f t="shared" si="0"/>
        <v>0</v>
      </c>
      <c r="F18" s="25"/>
      <c r="G18" s="26">
        <f t="shared" si="1"/>
        <v>0</v>
      </c>
      <c r="H18" s="27">
        <f t="shared" si="2"/>
        <v>0</v>
      </c>
      <c r="I18" s="70"/>
      <c r="J18" s="72"/>
      <c r="K18" s="72"/>
      <c r="L18" s="70"/>
    </row>
    <row r="19" spans="2:12" ht="28.5" customHeight="1" x14ac:dyDescent="0.3">
      <c r="B19" s="22">
        <f t="shared" si="3"/>
        <v>46033</v>
      </c>
      <c r="C19" s="23"/>
      <c r="D19" s="23"/>
      <c r="E19" s="24">
        <f t="shared" si="0"/>
        <v>0</v>
      </c>
      <c r="F19" s="25"/>
      <c r="G19" s="26">
        <f t="shared" si="1"/>
        <v>0</v>
      </c>
      <c r="H19" s="27">
        <f t="shared" si="2"/>
        <v>0</v>
      </c>
      <c r="I19" s="70"/>
      <c r="J19" s="72"/>
      <c r="K19" s="72"/>
      <c r="L19" s="70"/>
    </row>
    <row r="20" spans="2:12" ht="28.5" customHeight="1" x14ac:dyDescent="0.3">
      <c r="B20" s="22">
        <f t="shared" si="3"/>
        <v>46034</v>
      </c>
      <c r="C20" s="23"/>
      <c r="D20" s="23"/>
      <c r="E20" s="24">
        <f t="shared" si="0"/>
        <v>0</v>
      </c>
      <c r="F20" s="25"/>
      <c r="G20" s="26">
        <f t="shared" si="1"/>
        <v>0</v>
      </c>
      <c r="H20" s="27">
        <f t="shared" si="2"/>
        <v>0</v>
      </c>
      <c r="I20" s="70"/>
      <c r="J20" s="72"/>
      <c r="K20" s="72"/>
      <c r="L20" s="70"/>
    </row>
    <row r="21" spans="2:12" ht="28.5" customHeight="1" x14ac:dyDescent="0.3">
      <c r="B21" s="22">
        <f t="shared" si="3"/>
        <v>46035</v>
      </c>
      <c r="C21" s="23"/>
      <c r="D21" s="23"/>
      <c r="E21" s="24">
        <f t="shared" si="0"/>
        <v>0</v>
      </c>
      <c r="F21" s="25"/>
      <c r="G21" s="26">
        <f t="shared" si="1"/>
        <v>0</v>
      </c>
      <c r="H21" s="27">
        <f t="shared" si="2"/>
        <v>0</v>
      </c>
      <c r="I21" s="71"/>
      <c r="J21" s="72"/>
      <c r="K21" s="72"/>
      <c r="L21" s="70"/>
    </row>
    <row r="22" spans="2:12" ht="28.5" customHeight="1" x14ac:dyDescent="0.3">
      <c r="B22" s="22">
        <f t="shared" si="3"/>
        <v>46036</v>
      </c>
      <c r="C22" s="23"/>
      <c r="D22" s="23"/>
      <c r="E22" s="24">
        <f t="shared" si="0"/>
        <v>0</v>
      </c>
      <c r="F22" s="25"/>
      <c r="G22" s="26">
        <f t="shared" si="1"/>
        <v>0</v>
      </c>
      <c r="H22" s="27">
        <f t="shared" si="2"/>
        <v>0</v>
      </c>
      <c r="I22" s="71"/>
      <c r="J22" s="72"/>
      <c r="K22" s="72"/>
      <c r="L22" s="70"/>
    </row>
    <row r="23" spans="2:12" ht="28.5" customHeight="1" x14ac:dyDescent="0.3">
      <c r="B23" s="22">
        <f t="shared" si="3"/>
        <v>46037</v>
      </c>
      <c r="C23" s="23"/>
      <c r="D23" s="23"/>
      <c r="E23" s="24">
        <f t="shared" si="0"/>
        <v>0</v>
      </c>
      <c r="F23" s="25"/>
      <c r="G23" s="26">
        <f t="shared" si="1"/>
        <v>0</v>
      </c>
      <c r="H23" s="27">
        <f t="shared" si="2"/>
        <v>0</v>
      </c>
      <c r="I23" s="71"/>
      <c r="J23" s="72"/>
      <c r="K23" s="72"/>
      <c r="L23" s="70"/>
    </row>
    <row r="24" spans="2:12" ht="28.5" customHeight="1" x14ac:dyDescent="0.3">
      <c r="B24" s="22">
        <f t="shared" si="3"/>
        <v>46038</v>
      </c>
      <c r="C24" s="23"/>
      <c r="D24" s="23"/>
      <c r="E24" s="24">
        <f t="shared" si="0"/>
        <v>0</v>
      </c>
      <c r="F24" s="25"/>
      <c r="G24" s="26">
        <f t="shared" si="1"/>
        <v>0</v>
      </c>
      <c r="H24" s="27">
        <f t="shared" si="2"/>
        <v>0</v>
      </c>
      <c r="I24" s="71"/>
      <c r="J24" s="72"/>
      <c r="K24" s="72"/>
      <c r="L24" s="70"/>
    </row>
    <row r="25" spans="2:12" ht="28.5" customHeight="1" x14ac:dyDescent="0.3">
      <c r="B25" s="22">
        <f t="shared" si="3"/>
        <v>46039</v>
      </c>
      <c r="C25" s="23"/>
      <c r="D25" s="23"/>
      <c r="E25" s="24">
        <f t="shared" si="0"/>
        <v>0</v>
      </c>
      <c r="F25" s="25"/>
      <c r="G25" s="26">
        <f t="shared" si="1"/>
        <v>0</v>
      </c>
      <c r="H25" s="27">
        <f t="shared" si="2"/>
        <v>0</v>
      </c>
      <c r="I25" s="71"/>
      <c r="J25" s="72"/>
      <c r="K25" s="72"/>
      <c r="L25" s="70"/>
    </row>
    <row r="26" spans="2:12" ht="28.5" customHeight="1" x14ac:dyDescent="0.3">
      <c r="B26" s="22">
        <f t="shared" si="3"/>
        <v>46040</v>
      </c>
      <c r="C26" s="23"/>
      <c r="D26" s="23"/>
      <c r="E26" s="24">
        <f t="shared" si="0"/>
        <v>0</v>
      </c>
      <c r="F26" s="25"/>
      <c r="G26" s="26">
        <f t="shared" si="1"/>
        <v>0</v>
      </c>
      <c r="H26" s="27">
        <f t="shared" si="2"/>
        <v>0</v>
      </c>
      <c r="I26" s="71"/>
      <c r="J26" s="72"/>
      <c r="K26" s="72"/>
      <c r="L26" s="70"/>
    </row>
    <row r="27" spans="2:12" ht="28.5" customHeight="1" x14ac:dyDescent="0.3">
      <c r="B27" s="22">
        <f t="shared" si="3"/>
        <v>46041</v>
      </c>
      <c r="C27" s="23"/>
      <c r="D27" s="23"/>
      <c r="E27" s="24">
        <f t="shared" si="0"/>
        <v>0</v>
      </c>
      <c r="F27" s="25"/>
      <c r="G27" s="26">
        <f t="shared" si="1"/>
        <v>0</v>
      </c>
      <c r="H27" s="27">
        <f t="shared" si="2"/>
        <v>0</v>
      </c>
      <c r="I27" s="71"/>
      <c r="J27" s="72"/>
      <c r="K27" s="72"/>
      <c r="L27" s="70"/>
    </row>
    <row r="28" spans="2:12" ht="28.5" customHeight="1" x14ac:dyDescent="0.3">
      <c r="B28" s="22">
        <f t="shared" si="3"/>
        <v>46042</v>
      </c>
      <c r="C28" s="23"/>
      <c r="D28" s="23"/>
      <c r="E28" s="24">
        <f t="shared" si="0"/>
        <v>0</v>
      </c>
      <c r="F28" s="25"/>
      <c r="G28" s="26">
        <f t="shared" si="1"/>
        <v>0</v>
      </c>
      <c r="H28" s="27">
        <f t="shared" si="2"/>
        <v>0</v>
      </c>
      <c r="I28" s="71"/>
      <c r="J28" s="72"/>
      <c r="K28" s="72"/>
      <c r="L28" s="70"/>
    </row>
    <row r="29" spans="2:12" ht="28.5" customHeight="1" x14ac:dyDescent="0.3">
      <c r="B29" s="22">
        <f t="shared" si="3"/>
        <v>46043</v>
      </c>
      <c r="C29" s="23"/>
      <c r="D29" s="23"/>
      <c r="E29" s="24">
        <f t="shared" si="0"/>
        <v>0</v>
      </c>
      <c r="F29" s="25"/>
      <c r="G29" s="26">
        <f t="shared" si="1"/>
        <v>0</v>
      </c>
      <c r="H29" s="27">
        <f t="shared" si="2"/>
        <v>0</v>
      </c>
      <c r="I29" s="71"/>
      <c r="J29" s="72"/>
      <c r="K29" s="72"/>
      <c r="L29" s="70"/>
    </row>
    <row r="30" spans="2:12" ht="28.5" customHeight="1" x14ac:dyDescent="0.3">
      <c r="B30" s="22">
        <f t="shared" si="3"/>
        <v>46044</v>
      </c>
      <c r="C30" s="23"/>
      <c r="D30" s="23"/>
      <c r="E30" s="24">
        <f t="shared" si="0"/>
        <v>0</v>
      </c>
      <c r="F30" s="25"/>
      <c r="G30" s="26">
        <f t="shared" si="1"/>
        <v>0</v>
      </c>
      <c r="H30" s="27">
        <f t="shared" si="2"/>
        <v>0</v>
      </c>
      <c r="I30" s="71"/>
      <c r="J30" s="72"/>
      <c r="K30" s="72"/>
      <c r="L30" s="70"/>
    </row>
    <row r="31" spans="2:12" ht="28.5" customHeight="1" x14ac:dyDescent="0.3">
      <c r="B31" s="28">
        <f t="shared" si="3"/>
        <v>46045</v>
      </c>
      <c r="C31" s="23"/>
      <c r="D31" s="23"/>
      <c r="E31" s="24">
        <f t="shared" si="0"/>
        <v>0</v>
      </c>
      <c r="F31" s="25"/>
      <c r="G31" s="26">
        <f t="shared" si="1"/>
        <v>0</v>
      </c>
      <c r="H31" s="27">
        <f t="shared" si="2"/>
        <v>0</v>
      </c>
      <c r="I31" s="70"/>
      <c r="J31" s="72"/>
      <c r="K31" s="72"/>
      <c r="L31" s="70"/>
    </row>
    <row r="32" spans="2:12" ht="28.5" customHeight="1" x14ac:dyDescent="0.3">
      <c r="B32" s="28">
        <f t="shared" si="3"/>
        <v>46046</v>
      </c>
      <c r="C32" s="23"/>
      <c r="D32" s="23"/>
      <c r="E32" s="24">
        <f t="shared" si="0"/>
        <v>0</v>
      </c>
      <c r="F32" s="25"/>
      <c r="G32" s="26">
        <f t="shared" si="1"/>
        <v>0</v>
      </c>
      <c r="H32" s="27">
        <f t="shared" si="2"/>
        <v>0</v>
      </c>
      <c r="I32" s="70"/>
      <c r="J32" s="72"/>
      <c r="K32" s="72"/>
      <c r="L32" s="70"/>
    </row>
    <row r="33" spans="2:12" ht="28.5" customHeight="1" x14ac:dyDescent="0.3">
      <c r="B33" s="22">
        <f t="shared" si="3"/>
        <v>46047</v>
      </c>
      <c r="C33" s="23"/>
      <c r="D33" s="23"/>
      <c r="E33" s="24">
        <f t="shared" si="0"/>
        <v>0</v>
      </c>
      <c r="F33" s="25"/>
      <c r="G33" s="26">
        <f t="shared" si="1"/>
        <v>0</v>
      </c>
      <c r="H33" s="27">
        <f t="shared" si="2"/>
        <v>0</v>
      </c>
      <c r="I33" s="70"/>
      <c r="J33" s="72"/>
      <c r="K33" s="72"/>
      <c r="L33" s="70"/>
    </row>
    <row r="34" spans="2:12" ht="28.5" customHeight="1" x14ac:dyDescent="0.35">
      <c r="B34" s="22">
        <f t="shared" si="3"/>
        <v>46048</v>
      </c>
      <c r="C34" s="23"/>
      <c r="D34" s="23"/>
      <c r="E34" s="24">
        <f t="shared" si="0"/>
        <v>0</v>
      </c>
      <c r="F34" s="25"/>
      <c r="G34" s="26">
        <f t="shared" si="1"/>
        <v>0</v>
      </c>
      <c r="H34" s="27">
        <f t="shared" si="2"/>
        <v>0</v>
      </c>
      <c r="I34" s="70"/>
      <c r="J34" s="72"/>
      <c r="K34" s="72"/>
      <c r="L34" s="74"/>
    </row>
    <row r="35" spans="2:12" ht="28.5" customHeight="1" x14ac:dyDescent="0.35">
      <c r="B35" s="22">
        <f t="shared" si="3"/>
        <v>46049</v>
      </c>
      <c r="C35" s="23"/>
      <c r="D35" s="23"/>
      <c r="E35" s="24">
        <f t="shared" si="0"/>
        <v>0</v>
      </c>
      <c r="F35" s="25"/>
      <c r="G35" s="26">
        <f t="shared" si="1"/>
        <v>0</v>
      </c>
      <c r="H35" s="27">
        <f t="shared" si="2"/>
        <v>0</v>
      </c>
      <c r="I35" s="70"/>
      <c r="J35" s="72"/>
      <c r="K35" s="72"/>
      <c r="L35" s="74"/>
    </row>
    <row r="36" spans="2:12" ht="28.5" customHeight="1" x14ac:dyDescent="0.35">
      <c r="B36" s="22">
        <f t="shared" si="3"/>
        <v>46050</v>
      </c>
      <c r="C36" s="23"/>
      <c r="D36" s="23"/>
      <c r="E36" s="24">
        <f t="shared" si="0"/>
        <v>0</v>
      </c>
      <c r="F36" s="25"/>
      <c r="G36" s="26">
        <f t="shared" si="1"/>
        <v>0</v>
      </c>
      <c r="H36" s="27">
        <f t="shared" si="2"/>
        <v>0</v>
      </c>
      <c r="I36" s="70"/>
      <c r="J36" s="72"/>
      <c r="K36" s="72"/>
      <c r="L36" s="74"/>
    </row>
    <row r="37" spans="2:12" ht="28.5" customHeight="1" x14ac:dyDescent="0.35">
      <c r="B37" s="22">
        <f t="shared" si="3"/>
        <v>46051</v>
      </c>
      <c r="C37" s="23"/>
      <c r="D37" s="23"/>
      <c r="E37" s="24">
        <f t="shared" si="0"/>
        <v>0</v>
      </c>
      <c r="F37" s="25"/>
      <c r="G37" s="26">
        <f t="shared" si="1"/>
        <v>0</v>
      </c>
      <c r="H37" s="27">
        <f t="shared" si="2"/>
        <v>0</v>
      </c>
      <c r="I37" s="70"/>
      <c r="J37" s="72"/>
      <c r="K37" s="72"/>
      <c r="L37" s="74"/>
    </row>
    <row r="38" spans="2:12" ht="28.5" customHeight="1" x14ac:dyDescent="0.35">
      <c r="B38" s="22">
        <f t="shared" si="3"/>
        <v>46052</v>
      </c>
      <c r="C38" s="23"/>
      <c r="D38" s="23"/>
      <c r="E38" s="24">
        <f t="shared" si="0"/>
        <v>0</v>
      </c>
      <c r="F38" s="25"/>
      <c r="G38" s="26">
        <f t="shared" si="1"/>
        <v>0</v>
      </c>
      <c r="H38" s="27">
        <f t="shared" si="2"/>
        <v>0</v>
      </c>
      <c r="I38" s="70"/>
      <c r="J38" s="72"/>
      <c r="K38" s="72"/>
      <c r="L38" s="74"/>
    </row>
    <row r="39" spans="2:12" ht="28.5" customHeight="1" x14ac:dyDescent="0.3">
      <c r="B39" s="22">
        <f t="shared" si="3"/>
        <v>46053</v>
      </c>
      <c r="C39" s="23"/>
      <c r="D39" s="23"/>
      <c r="E39" s="24">
        <f t="shared" si="0"/>
        <v>0</v>
      </c>
      <c r="F39" s="25"/>
      <c r="G39" s="26">
        <f t="shared" si="1"/>
        <v>0</v>
      </c>
      <c r="H39" s="27">
        <f t="shared" si="2"/>
        <v>0</v>
      </c>
      <c r="I39" s="70"/>
      <c r="J39" s="72"/>
      <c r="K39" s="72"/>
      <c r="L39" s="70"/>
    </row>
    <row r="40" spans="2:12" ht="28.5" customHeight="1" x14ac:dyDescent="0.3">
      <c r="B40" s="29" t="s">
        <v>11</v>
      </c>
      <c r="C40" s="30" t="s">
        <v>12</v>
      </c>
      <c r="D40" s="30" t="s">
        <v>12</v>
      </c>
      <c r="E40" s="31">
        <f>SUM(E9:E39)</f>
        <v>0</v>
      </c>
      <c r="F40" s="31">
        <f t="array" ref="F40">SUM(F9:F39/60)</f>
        <v>0</v>
      </c>
      <c r="G40" s="32">
        <f>SUM(E40-F40)</f>
        <v>0</v>
      </c>
      <c r="I40" s="70"/>
      <c r="J40" s="72"/>
      <c r="K40" s="72"/>
      <c r="L40" s="70"/>
    </row>
    <row r="41" spans="2:12" ht="28.5" customHeight="1" x14ac:dyDescent="0.35">
      <c r="B41" s="33" t="s">
        <v>13</v>
      </c>
      <c r="C41" s="34" t="s">
        <v>12</v>
      </c>
      <c r="D41" s="34" t="s">
        <v>12</v>
      </c>
      <c r="E41" s="79">
        <v>10</v>
      </c>
      <c r="F41" s="35"/>
      <c r="G41" s="36" t="s">
        <v>12</v>
      </c>
      <c r="H41" s="80" t="s">
        <v>24</v>
      </c>
      <c r="I41" s="70"/>
      <c r="J41" s="72"/>
      <c r="K41" s="72"/>
      <c r="L41" s="70"/>
    </row>
    <row r="42" spans="2:12" ht="28.5" customHeight="1" x14ac:dyDescent="0.3">
      <c r="B42" s="37" t="s">
        <v>14</v>
      </c>
      <c r="C42" s="38" t="s">
        <v>12</v>
      </c>
      <c r="D42" s="38" t="s">
        <v>12</v>
      </c>
      <c r="E42" s="39">
        <f>E41*G40</f>
        <v>0</v>
      </c>
      <c r="F42" s="39"/>
      <c r="G42" s="39">
        <f>SUM(E42:E42)</f>
        <v>0</v>
      </c>
      <c r="I42" s="70"/>
      <c r="J42" s="70"/>
      <c r="K42" s="70"/>
      <c r="L42" s="70"/>
    </row>
    <row r="43" spans="2:12" ht="18.75" customHeight="1" x14ac:dyDescent="0.3">
      <c r="B43" s="4"/>
      <c r="C43" s="5"/>
      <c r="D43" s="5"/>
      <c r="E43" s="5"/>
      <c r="F43" s="5"/>
      <c r="H43" s="11"/>
      <c r="I43" s="71"/>
      <c r="J43" s="70"/>
      <c r="K43" s="70"/>
      <c r="L43" s="70"/>
    </row>
    <row r="44" spans="2:12" ht="18.75" customHeight="1" thickBot="1" x14ac:dyDescent="0.35">
      <c r="B44" s="40"/>
      <c r="C44" s="41"/>
      <c r="D44" s="42"/>
      <c r="E44" s="41"/>
      <c r="F44" s="41"/>
      <c r="G44" s="43">
        <f>G40</f>
        <v>0</v>
      </c>
      <c r="H44" s="21"/>
      <c r="I44" s="73"/>
      <c r="J44" s="70"/>
      <c r="K44" s="70"/>
      <c r="L44" s="70"/>
    </row>
    <row r="45" spans="2:12" ht="18.75" customHeight="1" thickTop="1" x14ac:dyDescent="0.3">
      <c r="B45" s="7"/>
      <c r="C45" s="66"/>
      <c r="D45" s="41"/>
      <c r="E45" s="41"/>
      <c r="F45" s="41"/>
      <c r="G45" s="45" t="s">
        <v>9</v>
      </c>
      <c r="I45" s="70"/>
      <c r="J45" s="70"/>
      <c r="K45" s="70"/>
      <c r="L45" s="70"/>
    </row>
    <row r="46" spans="2:12" ht="18.75" customHeight="1" x14ac:dyDescent="0.3">
      <c r="B46" s="46"/>
      <c r="C46" s="46"/>
      <c r="D46" s="46"/>
      <c r="E46" s="46"/>
      <c r="F46" s="46"/>
      <c r="G46" s="45"/>
      <c r="I46" s="70"/>
      <c r="J46" s="70"/>
      <c r="K46" s="70"/>
      <c r="L46" s="70"/>
    </row>
    <row r="47" spans="2:12" ht="18.75" customHeight="1" thickBot="1" x14ac:dyDescent="0.35">
      <c r="B47" s="46"/>
      <c r="C47" s="41"/>
      <c r="D47" s="41"/>
      <c r="E47" s="41"/>
      <c r="F47" s="41"/>
      <c r="G47" s="47">
        <f>G42</f>
        <v>0</v>
      </c>
      <c r="I47" s="48"/>
    </row>
    <row r="48" spans="2:12" ht="18.75" customHeight="1" thickTop="1" thickBot="1" x14ac:dyDescent="0.35">
      <c r="B48" s="44"/>
      <c r="C48" s="17"/>
      <c r="D48" s="41"/>
      <c r="E48" s="41"/>
      <c r="F48" s="41"/>
      <c r="G48" s="45" t="s">
        <v>14</v>
      </c>
    </row>
    <row r="49" spans="2:10" ht="104.15" customHeight="1" x14ac:dyDescent="0.3">
      <c r="B49" s="49" t="s">
        <v>15</v>
      </c>
      <c r="C49" s="50"/>
      <c r="D49" s="50"/>
      <c r="E49" s="50"/>
      <c r="F49" s="50"/>
      <c r="G49" s="51"/>
    </row>
    <row r="50" spans="2:10" ht="12.75" customHeight="1" x14ac:dyDescent="0.3">
      <c r="B50" s="52" t="s">
        <v>16</v>
      </c>
      <c r="C50" s="53"/>
      <c r="D50" s="53"/>
      <c r="E50" s="54"/>
      <c r="F50" s="55"/>
      <c r="G50" s="54"/>
      <c r="H50" s="67"/>
      <c r="I50" s="66"/>
      <c r="J50" s="68"/>
    </row>
    <row r="51" spans="2:10" ht="12.75" customHeight="1" x14ac:dyDescent="0.3">
      <c r="B51" s="56"/>
      <c r="C51" s="17"/>
      <c r="D51" s="17"/>
      <c r="E51" s="57"/>
      <c r="F51" s="58"/>
      <c r="G51" s="57"/>
      <c r="H51" s="64"/>
      <c r="I51" s="66"/>
      <c r="J51" s="66"/>
    </row>
    <row r="52" spans="2:10" ht="12.75" customHeight="1" x14ac:dyDescent="0.3">
      <c r="B52" s="59"/>
      <c r="C52" s="60"/>
      <c r="D52" s="60"/>
      <c r="E52" s="61"/>
      <c r="F52" s="62"/>
      <c r="G52" s="61"/>
      <c r="H52" s="64"/>
      <c r="I52" s="66"/>
      <c r="J52" s="66"/>
    </row>
    <row r="53" spans="2:10" ht="12.75" customHeight="1" x14ac:dyDescent="0.3">
      <c r="B53" s="52"/>
      <c r="C53" s="53"/>
      <c r="D53" s="53"/>
      <c r="E53" s="54"/>
      <c r="F53" s="55"/>
      <c r="G53" s="54"/>
    </row>
    <row r="54" spans="2:10" ht="12.75" customHeight="1" x14ac:dyDescent="0.3">
      <c r="B54" s="56"/>
      <c r="C54" s="17"/>
      <c r="D54" s="17"/>
      <c r="E54" s="57"/>
      <c r="F54" s="58"/>
      <c r="G54" s="57"/>
    </row>
    <row r="55" spans="2:10" ht="12.75" customHeight="1" x14ac:dyDescent="0.3">
      <c r="B55" s="59"/>
      <c r="C55" s="60"/>
      <c r="D55" s="60"/>
      <c r="E55" s="61"/>
      <c r="F55" s="62"/>
      <c r="G55" s="61"/>
    </row>
    <row r="56" spans="2:10" ht="12.75" customHeight="1" x14ac:dyDescent="0.3">
      <c r="B56" s="52"/>
      <c r="C56" s="53"/>
      <c r="D56" s="53"/>
      <c r="E56" s="54"/>
      <c r="F56" s="55"/>
      <c r="G56" s="54"/>
    </row>
    <row r="57" spans="2:10" ht="12.75" customHeight="1" x14ac:dyDescent="0.3">
      <c r="B57" s="56"/>
      <c r="C57" s="17"/>
      <c r="D57" s="17"/>
      <c r="E57" s="57"/>
      <c r="F57" s="58"/>
      <c r="G57" s="57"/>
    </row>
    <row r="58" spans="2:10" ht="12.75" customHeight="1" x14ac:dyDescent="0.3">
      <c r="B58" s="59"/>
      <c r="C58" s="60"/>
      <c r="D58" s="60"/>
      <c r="E58" s="61"/>
      <c r="F58" s="62"/>
      <c r="G58" s="61"/>
    </row>
    <row r="59" spans="2:10" ht="12.75" customHeight="1" x14ac:dyDescent="0.3">
      <c r="B59" s="52"/>
      <c r="C59" s="53"/>
      <c r="D59" s="53"/>
      <c r="E59" s="54"/>
      <c r="F59" s="55"/>
      <c r="G59" s="54"/>
    </row>
    <row r="60" spans="2:10" ht="12.75" customHeight="1" x14ac:dyDescent="0.3">
      <c r="B60" s="56"/>
      <c r="C60" s="17"/>
      <c r="D60" s="17"/>
      <c r="E60" s="57"/>
      <c r="F60" s="58"/>
      <c r="G60" s="57"/>
    </row>
    <row r="61" spans="2:10" ht="12.75" customHeight="1" x14ac:dyDescent="0.3">
      <c r="B61" s="59"/>
      <c r="C61" s="60"/>
      <c r="D61" s="60"/>
      <c r="E61" s="61"/>
      <c r="F61" s="62"/>
      <c r="G61" s="61"/>
    </row>
    <row r="62" spans="2:10" ht="12.75" customHeight="1" x14ac:dyDescent="0.3">
      <c r="B62" s="52"/>
      <c r="C62" s="53"/>
      <c r="D62" s="53"/>
      <c r="E62" s="54"/>
      <c r="F62" s="55"/>
      <c r="G62" s="54"/>
    </row>
    <row r="63" spans="2:10" ht="12.75" customHeight="1" x14ac:dyDescent="0.3">
      <c r="B63" s="56"/>
      <c r="C63" s="17"/>
      <c r="D63" s="17"/>
      <c r="E63" s="57"/>
      <c r="F63" s="58"/>
      <c r="G63" s="57"/>
    </row>
    <row r="64" spans="2:10" ht="12.75" customHeight="1" x14ac:dyDescent="0.3">
      <c r="B64" s="59"/>
      <c r="C64" s="60"/>
      <c r="D64" s="60"/>
      <c r="E64" s="61"/>
      <c r="F64" s="62"/>
      <c r="G64" s="61"/>
    </row>
    <row r="65" spans="2:10" ht="12.75" customHeight="1" x14ac:dyDescent="0.3">
      <c r="B65" s="52"/>
      <c r="C65" s="53"/>
      <c r="D65" s="53"/>
      <c r="E65" s="54"/>
      <c r="F65" s="55"/>
      <c r="G65" s="54"/>
    </row>
    <row r="66" spans="2:10" ht="12.75" customHeight="1" x14ac:dyDescent="0.3">
      <c r="B66" s="56"/>
      <c r="C66" s="17"/>
      <c r="D66" s="17"/>
      <c r="E66" s="57"/>
      <c r="F66" s="58"/>
      <c r="G66" s="57"/>
    </row>
    <row r="67" spans="2:10" ht="12.75" customHeight="1" x14ac:dyDescent="0.3">
      <c r="B67" s="59"/>
      <c r="C67" s="60"/>
      <c r="D67" s="60"/>
      <c r="E67" s="61"/>
      <c r="F67" s="62"/>
      <c r="G67" s="61"/>
    </row>
    <row r="68" spans="2:10" ht="12.75" customHeight="1" x14ac:dyDescent="0.3">
      <c r="B68" s="52"/>
      <c r="C68" s="53"/>
      <c r="D68" s="53"/>
      <c r="E68" s="54"/>
      <c r="F68" s="55"/>
      <c r="G68" s="54"/>
    </row>
    <row r="69" spans="2:10" ht="12.75" customHeight="1" x14ac:dyDescent="0.3">
      <c r="B69" s="56"/>
      <c r="C69" s="17"/>
      <c r="D69" s="17"/>
      <c r="E69" s="57"/>
      <c r="F69" s="58"/>
      <c r="G69" s="57"/>
    </row>
    <row r="70" spans="2:10" ht="12.75" customHeight="1" x14ac:dyDescent="0.3">
      <c r="B70" s="59"/>
      <c r="C70" s="60"/>
      <c r="D70" s="60"/>
      <c r="E70" s="61"/>
      <c r="F70" s="62"/>
      <c r="G70" s="61"/>
    </row>
    <row r="71" spans="2:10" ht="12.75" customHeight="1" x14ac:dyDescent="0.3">
      <c r="B71" s="52"/>
      <c r="C71" s="53"/>
      <c r="D71" s="53"/>
      <c r="E71" s="54"/>
      <c r="F71" s="55"/>
      <c r="G71" s="54"/>
    </row>
    <row r="72" spans="2:10" ht="12.75" customHeight="1" x14ac:dyDescent="0.3">
      <c r="B72" s="56"/>
      <c r="C72" s="17"/>
      <c r="D72" s="17"/>
      <c r="E72" s="57"/>
      <c r="F72" s="58"/>
      <c r="G72" s="57"/>
    </row>
    <row r="73" spans="2:10" ht="12.75" customHeight="1" x14ac:dyDescent="0.3">
      <c r="B73" s="59"/>
      <c r="C73" s="60"/>
      <c r="D73" s="60"/>
      <c r="E73" s="61"/>
      <c r="F73" s="62"/>
      <c r="G73" s="61"/>
    </row>
    <row r="74" spans="2:10" ht="12.75" customHeight="1" x14ac:dyDescent="0.3">
      <c r="B74" s="52"/>
      <c r="C74" s="53"/>
      <c r="D74" s="53"/>
      <c r="E74" s="54"/>
      <c r="F74" s="55"/>
      <c r="G74" s="54"/>
    </row>
    <row r="75" spans="2:10" ht="12.75" customHeight="1" x14ac:dyDescent="0.3">
      <c r="B75" s="56"/>
      <c r="C75" s="17"/>
      <c r="D75" s="17"/>
      <c r="E75" s="57"/>
      <c r="F75" s="58"/>
      <c r="G75" s="57"/>
    </row>
    <row r="76" spans="2:10" ht="12.75" customHeight="1" x14ac:dyDescent="0.3">
      <c r="B76" s="59"/>
      <c r="C76" s="60"/>
      <c r="D76" s="60"/>
      <c r="E76" s="61"/>
      <c r="F76" s="62"/>
      <c r="G76" s="61"/>
    </row>
    <row r="77" spans="2:10" ht="12.75" customHeight="1" x14ac:dyDescent="0.7">
      <c r="B77" s="52"/>
      <c r="C77" s="53"/>
      <c r="D77" s="53"/>
      <c r="E77" s="54"/>
      <c r="F77" s="55"/>
      <c r="G77" s="54"/>
      <c r="H77" s="63"/>
      <c r="I77" s="65"/>
      <c r="J77" s="66"/>
    </row>
    <row r="78" spans="2:10" ht="12.75" customHeight="1" x14ac:dyDescent="0.3">
      <c r="B78" s="56"/>
      <c r="C78" s="17"/>
      <c r="D78" s="17"/>
      <c r="E78" s="57"/>
      <c r="F78" s="58"/>
      <c r="G78" s="57"/>
      <c r="H78" s="64"/>
      <c r="I78" s="66"/>
      <c r="J78" s="66"/>
    </row>
    <row r="79" spans="2:10" ht="12.75" customHeight="1" x14ac:dyDescent="0.3">
      <c r="B79" s="59"/>
      <c r="C79" s="60"/>
      <c r="D79" s="60"/>
      <c r="E79" s="61"/>
      <c r="F79" s="62"/>
      <c r="G79" s="61"/>
      <c r="H79" s="64"/>
      <c r="I79" s="66"/>
      <c r="J79" s="66"/>
    </row>
    <row r="80" spans="2:10" ht="12.75" customHeight="1" x14ac:dyDescent="0.3">
      <c r="B80" s="52"/>
      <c r="C80" s="53"/>
      <c r="D80" s="53"/>
      <c r="E80" s="54"/>
      <c r="F80" s="55"/>
      <c r="G80" s="54"/>
    </row>
    <row r="81" spans="2:7" ht="12.75" customHeight="1" x14ac:dyDescent="0.3">
      <c r="B81" s="56"/>
      <c r="C81" s="17"/>
      <c r="D81" s="17"/>
      <c r="E81" s="57"/>
      <c r="F81" s="58"/>
      <c r="G81" s="57"/>
    </row>
    <row r="82" spans="2:7" ht="12.75" customHeight="1" x14ac:dyDescent="0.3">
      <c r="B82" s="59"/>
      <c r="C82" s="60"/>
      <c r="D82" s="60"/>
      <c r="E82" s="61"/>
      <c r="F82" s="62"/>
      <c r="G82" s="61"/>
    </row>
    <row r="83" spans="2:7" ht="12.75" customHeight="1" x14ac:dyDescent="0.3">
      <c r="B83" s="52" t="s">
        <v>22</v>
      </c>
      <c r="C83" s="53"/>
      <c r="D83" s="53"/>
      <c r="E83" s="54"/>
      <c r="F83" s="55"/>
      <c r="G83" s="54"/>
    </row>
    <row r="84" spans="2:7" ht="12.75" customHeight="1" x14ac:dyDescent="0.3">
      <c r="B84" s="56"/>
      <c r="C84" s="17"/>
      <c r="D84" s="17"/>
      <c r="E84" s="57"/>
      <c r="F84" s="58"/>
      <c r="G84" s="57"/>
    </row>
    <row r="85" spans="2:7" ht="12.75" customHeight="1" x14ac:dyDescent="0.3">
      <c r="B85" s="59"/>
      <c r="C85" s="60"/>
      <c r="D85" s="60"/>
      <c r="E85" s="61"/>
      <c r="F85" s="62"/>
      <c r="G85" s="61"/>
    </row>
    <row r="86" spans="2:7" ht="12.75" customHeight="1" x14ac:dyDescent="0.3">
      <c r="B86" s="52" t="s">
        <v>23</v>
      </c>
      <c r="C86" s="53"/>
      <c r="D86" s="53"/>
      <c r="E86" s="54"/>
      <c r="F86" s="55"/>
      <c r="G86" s="54"/>
    </row>
    <row r="87" spans="2:7" ht="12.75" customHeight="1" x14ac:dyDescent="0.3">
      <c r="B87" s="56"/>
      <c r="C87" s="17"/>
      <c r="D87" s="17"/>
      <c r="E87" s="57"/>
      <c r="F87" s="58"/>
      <c r="G87" s="57"/>
    </row>
    <row r="88" spans="2:7" ht="12.75" customHeight="1" x14ac:dyDescent="0.3">
      <c r="B88" s="59"/>
      <c r="C88" s="60"/>
      <c r="D88" s="60"/>
      <c r="E88" s="61"/>
      <c r="F88" s="62"/>
      <c r="G88" s="61"/>
    </row>
    <row r="89" spans="2:7" ht="12.75" customHeight="1" x14ac:dyDescent="0.3">
      <c r="B89" s="52" t="s">
        <v>17</v>
      </c>
      <c r="C89" s="53"/>
      <c r="D89" s="53"/>
      <c r="E89" s="54"/>
      <c r="F89" s="55">
        <f>SUM(F50:G88)</f>
        <v>0</v>
      </c>
      <c r="G89" s="54"/>
    </row>
    <row r="90" spans="2:7" x14ac:dyDescent="0.3">
      <c r="B90" s="56"/>
      <c r="C90" s="17"/>
      <c r="D90" s="17"/>
      <c r="E90" s="57"/>
      <c r="F90" s="58"/>
      <c r="G90" s="57"/>
    </row>
    <row r="91" spans="2:7" ht="13" customHeight="1" x14ac:dyDescent="0.3">
      <c r="B91" s="59"/>
      <c r="C91" s="60"/>
      <c r="D91" s="60"/>
      <c r="E91" s="61"/>
      <c r="F91" s="62"/>
      <c r="G91" s="61"/>
    </row>
    <row r="93" spans="2:7" ht="13.25" customHeight="1" x14ac:dyDescent="0.3"/>
    <row r="94" spans="2:7" ht="13.25" customHeight="1" x14ac:dyDescent="0.3"/>
    <row r="95" spans="2:7" ht="13.25" customHeight="1" x14ac:dyDescent="0.3"/>
    <row r="96" spans="2:7" ht="13.25" customHeight="1" x14ac:dyDescent="0.3"/>
    <row r="97" ht="13.25" customHeight="1" x14ac:dyDescent="0.3"/>
    <row r="98" ht="13.25" customHeight="1" x14ac:dyDescent="0.3"/>
  </sheetData>
  <mergeCells count="33">
    <mergeCell ref="B89:E91"/>
    <mergeCell ref="F89:G91"/>
    <mergeCell ref="C6:F6"/>
    <mergeCell ref="B80:E82"/>
    <mergeCell ref="F80:G82"/>
    <mergeCell ref="B83:E85"/>
    <mergeCell ref="F83:G85"/>
    <mergeCell ref="B86:E88"/>
    <mergeCell ref="F86:G88"/>
    <mergeCell ref="B74:E76"/>
    <mergeCell ref="F74:G76"/>
    <mergeCell ref="B77:E79"/>
    <mergeCell ref="F77:G79"/>
    <mergeCell ref="B65:E67"/>
    <mergeCell ref="F65:G67"/>
    <mergeCell ref="B68:E70"/>
    <mergeCell ref="F68:G70"/>
    <mergeCell ref="B71:E73"/>
    <mergeCell ref="F71:G73"/>
    <mergeCell ref="B56:E58"/>
    <mergeCell ref="F56:G58"/>
    <mergeCell ref="B59:E61"/>
    <mergeCell ref="F59:G61"/>
    <mergeCell ref="B62:E64"/>
    <mergeCell ref="F62:G64"/>
    <mergeCell ref="B50:E52"/>
    <mergeCell ref="F50:G52"/>
    <mergeCell ref="B53:E55"/>
    <mergeCell ref="F53:G55"/>
    <mergeCell ref="C4:E4"/>
    <mergeCell ref="J6:K6"/>
    <mergeCell ref="B48:C48"/>
    <mergeCell ref="B49:G49"/>
  </mergeCells>
  <conditionalFormatting sqref="C9:C39">
    <cfRule type="containsBlanks" dxfId="1" priority="1">
      <formula>LEN(TRIM(C9))=0</formula>
    </cfRule>
    <cfRule type="cellIs" dxfId="0" priority="2" operator="greaterThan">
      <formula>"24:00:00"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TO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Kay</dc:creator>
  <cp:lastModifiedBy>Edward Kay</cp:lastModifiedBy>
  <dcterms:created xsi:type="dcterms:W3CDTF">2026-03-30T17:04:43Z</dcterms:created>
  <dcterms:modified xsi:type="dcterms:W3CDTF">2026-03-30T17:08:39Z</dcterms:modified>
</cp:coreProperties>
</file>